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o\Desktop\Epicode\Esercizi github\Epicode_DA_2024_M1W2\"/>
    </mc:Choice>
  </mc:AlternateContent>
  <bookViews>
    <workbookView xWindow="0" yWindow="0" windowWidth="13470" windowHeight="12135" activeTab="1"/>
  </bookViews>
  <sheets>
    <sheet name="Prodotti" sheetId="1" r:id="rId1"/>
    <sheet name="Elaborazione" sheetId="2" r:id="rId2"/>
  </sheets>
  <definedNames>
    <definedName name="_xlchart.v1.0" hidden="1">Prodotti!$A$2:$B$11</definedName>
    <definedName name="_xlchart.v1.1" hidden="1">Prodotti!$E$1</definedName>
    <definedName name="_xlchart.v1.2" hidden="1">Prodotti!$E$2:$E$11</definedName>
    <definedName name="_xlchart.v1.3" hidden="1">Prodotti!$A$2:$B$11</definedName>
    <definedName name="_xlchart.v1.4" hidden="1">Prodotti!$E$1</definedName>
    <definedName name="_xlchart.v1.5" hidden="1">Prodotti!$E$2:$E$11</definedName>
    <definedName name="_xlchart.v1.6" hidden="1">Prodotti!$A$2:$B$11</definedName>
    <definedName name="_xlchart.v1.7" hidden="1">Prodotti!$E$1</definedName>
    <definedName name="_xlchart.v1.8" hidden="1">Prodotti!$E$2:$E$11</definedName>
    <definedName name="_xlnm.Print_Area" localSheetId="0">Prodotti!$A$1:$E$11</definedName>
  </definedNames>
  <calcPr calcId="162913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2" i="2"/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<sst xmlns="http://schemas.openxmlformats.org/spreadsheetml/2006/main" count="51" uniqueCount="20">
  <si>
    <t>Azienda</t>
  </si>
  <si>
    <t>Prodotto</t>
  </si>
  <si>
    <t>Quantità</t>
  </si>
  <si>
    <t>Prezzo</t>
  </si>
  <si>
    <t>Totale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</si>
  <si>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</si>
  <si>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</si>
  <si>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</si>
  <si>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</si>
  <si>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</si>
  <si>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</si>
  <si>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</si>
  <si>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</si>
  <si>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</si>
  <si>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</si>
  <si>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</si>
  <si>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</si>
  <si>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</si>
  <si>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 xml:space="preserve"> </t>
  </si>
  <si>
    <t>Tech Innovations Ltd,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</si>
</sst>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€&quot;\ * #,##0.00_-;\-&quot;€&quot;\ * #,##0.00_-;_-&quot;€&quot;\ * &quot;-&quot;??_-;_-@_-"/>
    <numFmt numFmtId="164" formatCode="&quot;€&quot;\ #,##0.00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164" fontId="2" fillId="0" borderId="0" xfId="1" applyNumberFormat="1" applyFont="1" applyAlignment="1"/>
    <xf numFmtId="2" fontId="2" fillId="0" borderId="0" xfId="0" applyNumberFormat="1" applyFont="1" applyAlignment="1"/>
    <xf numFmtId="164" fontId="2" fillId="0" borderId="0" xfId="0" applyNumberFormat="1" applyFont="1" applyAlignment="1"/>
    <xf numFmtId="0" fontId="4" fillId="0" borderId="0" xfId="0" applyFont="1" applyAlignment="1"/>
    <xf numFmtId="164" fontId="0" fillId="0" borderId="0" xfId="0" applyNumberFormat="1" applyFont="1" applyAlignmen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Elaborazione!$B$2</c:f>
              <c:strCache>
                <c:ptCount val="1"/>
                <c:pt idx="0">
                  <c:v>Tecnologia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Elaborazione!$C$1:$E$1</c15:sqref>
                  </c15:fullRef>
                </c:ext>
              </c:extLst>
              <c:f>Elaborazione!$C$1</c:f>
              <c:strCache>
                <c:ptCount val="1"/>
                <c:pt idx="0">
                  <c:v>Quantità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Elaborazione!$C$2:$E$2</c15:sqref>
                  </c15:fullRef>
                </c:ext>
              </c:extLst>
              <c:f>Elaborazione!$C$2</c:f>
              <c:numCache>
                <c:formatCode>"€"\ #,##0.00</c:formatCode>
                <c:ptCount val="1"/>
                <c:pt idx="0" formatCode="General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3-4CB1-98E7-4A00AC6A789F}"/>
            </c:ext>
          </c:extLst>
        </c:ser>
        <c:ser>
          <c:idx val="1"/>
          <c:order val="1"/>
          <c:tx>
            <c:strRef>
              <c:f>Elaborazione!$B$3</c:f>
              <c:strCache>
                <c:ptCount val="1"/>
                <c:pt idx="0">
                  <c:v>Cibo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Elaborazione!$C$1:$E$1</c15:sqref>
                  </c15:fullRef>
                </c:ext>
              </c:extLst>
              <c:f>Elaborazione!$C$1</c:f>
              <c:strCache>
                <c:ptCount val="1"/>
                <c:pt idx="0">
                  <c:v>Quantità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Elaborazione!$C$3:$E$3</c15:sqref>
                  </c15:fullRef>
                </c:ext>
              </c:extLst>
              <c:f>Elaborazione!$C$3</c:f>
              <c:numCache>
                <c:formatCode>"€"\ #,##0.00</c:formatCode>
                <c:ptCount val="1"/>
                <c:pt idx="0" formatCode="General">
                  <c:v>1200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8B93-4CB1-98E7-4A00AC6A789F}"/>
            </c:ext>
          </c:extLst>
        </c:ser>
        <c:ser>
          <c:idx val="2"/>
          <c:order val="2"/>
          <c:tx>
            <c:strRef>
              <c:f>Elaborazione!$B$4</c:f>
              <c:strCache>
                <c:ptCount val="1"/>
                <c:pt idx="0">
                  <c:v>Pannelli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Elaborazione!$C$1:$E$1</c15:sqref>
                  </c15:fullRef>
                </c:ext>
              </c:extLst>
              <c:f>Elaborazione!$C$1</c:f>
              <c:strCache>
                <c:ptCount val="1"/>
                <c:pt idx="0">
                  <c:v>Quantità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Elaborazione!$C$4:$E$4</c15:sqref>
                  </c15:fullRef>
                </c:ext>
              </c:extLst>
              <c:f>Elaborazione!$C$4</c:f>
              <c:numCache>
                <c:formatCode>"€"\ #,##0.00</c:formatCode>
                <c:ptCount val="1"/>
                <c:pt idx="0" formatCode="General">
                  <c:v>800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8B93-4CB1-98E7-4A00AC6A789F}"/>
            </c:ext>
          </c:extLst>
        </c:ser>
        <c:ser>
          <c:idx val="3"/>
          <c:order val="3"/>
          <c:tx>
            <c:strRef>
              <c:f>Elaborazione!$B$5</c:f>
              <c:strCache>
                <c:ptCount val="1"/>
                <c:pt idx="0">
                  <c:v>Quanti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Elaborazione!$C$1:$E$1</c15:sqref>
                  </c15:fullRef>
                </c:ext>
              </c:extLst>
              <c:f>Elaborazione!$C$1</c:f>
              <c:strCache>
                <c:ptCount val="1"/>
                <c:pt idx="0">
                  <c:v>Quantità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Elaborazione!$C$5:$E$5</c15:sqref>
                  </c15:fullRef>
                </c:ext>
              </c:extLst>
              <c:f>Elaborazione!$C$5</c:f>
              <c:numCache>
                <c:formatCode>"€"\ #,##0.00</c:formatCode>
                <c:ptCount val="1"/>
                <c:pt idx="0" formatCode="General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AA4-A063-37F3AEB9C1B7}"/>
            </c:ext>
          </c:extLst>
        </c:ser>
        <c:ser>
          <c:idx val="4"/>
          <c:order val="4"/>
          <c:tx>
            <c:strRef>
              <c:f>Elaborazione!$B$6</c:f>
              <c:strCache>
                <c:ptCount val="1"/>
                <c:pt idx="0">
                  <c:v>Infinito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Elaborazione!$C$1:$E$1</c15:sqref>
                  </c15:fullRef>
                </c:ext>
              </c:extLst>
              <c:f>Elaborazione!$C$1</c:f>
              <c:strCache>
                <c:ptCount val="1"/>
                <c:pt idx="0">
                  <c:v>Quantità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Elaborazione!$C$6:$E$6</c15:sqref>
                  </c15:fullRef>
                </c:ext>
              </c:extLst>
              <c:f>Elaborazione!$C$6</c:f>
              <c:numCache>
                <c:formatCode>"€"\ #,##0.00</c:formatCode>
                <c:ptCount val="1"/>
                <c:pt idx="0" formatCode="General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1A-4AA4-A063-37F3AEB9C1B7}"/>
            </c:ext>
          </c:extLst>
        </c:ser>
        <c:ser>
          <c:idx val="5"/>
          <c:order val="5"/>
          <c:tx>
            <c:strRef>
              <c:f>Elaborazione!$B$7</c:f>
              <c:strCache>
                <c:ptCount val="1"/>
                <c:pt idx="0">
                  <c:v>Crema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Elaborazione!$C$1:$E$1</c15:sqref>
                  </c15:fullRef>
                </c:ext>
              </c:extLst>
              <c:f>Elaborazione!$C$1</c:f>
              <c:strCache>
                <c:ptCount val="1"/>
                <c:pt idx="0">
                  <c:v>Quantità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Elaborazione!$C$7:$E$7</c15:sqref>
                  </c15:fullRef>
                </c:ext>
              </c:extLst>
              <c:f>Elaborazione!$C$7</c:f>
              <c:numCache>
                <c:formatCode>"€"\ #,##0.00</c:formatCode>
                <c:ptCount val="1"/>
                <c:pt idx="0" formatCode="General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1A-4AA4-A063-37F3AEB9C1B7}"/>
            </c:ext>
          </c:extLst>
        </c:ser>
        <c:ser>
          <c:idx val="6"/>
          <c:order val="6"/>
          <c:tx>
            <c:strRef>
              <c:f>Elaborazione!$B$8</c:f>
              <c:strCache>
                <c:ptCount val="1"/>
                <c:pt idx="0">
                  <c:v>Acqua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Elaborazione!$C$1:$E$1</c15:sqref>
                  </c15:fullRef>
                </c:ext>
              </c:extLst>
              <c:f>Elaborazione!$C$1</c:f>
              <c:strCache>
                <c:ptCount val="1"/>
                <c:pt idx="0">
                  <c:v>Quantità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Elaborazione!$C$8:$E$8</c15:sqref>
                  </c15:fullRef>
                </c:ext>
              </c:extLst>
              <c:f>Elaborazione!$C$8</c:f>
              <c:numCache>
                <c:formatCode>"€"\ #,##0.00</c:formatCode>
                <c:ptCount val="1"/>
                <c:pt idx="0" formatCode="General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1A-4AA4-A063-37F3AEB9C1B7}"/>
            </c:ext>
          </c:extLst>
        </c:ser>
        <c:ser>
          <c:idx val="7"/>
          <c:order val="7"/>
          <c:tx>
            <c:strRef>
              <c:f>Elaborazione!$B$9</c:f>
              <c:strCache>
                <c:ptCount val="1"/>
                <c:pt idx="0">
                  <c:v>Orizzonte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Elaborazione!$C$1:$E$1</c15:sqref>
                  </c15:fullRef>
                </c:ext>
              </c:extLst>
              <c:f>Elaborazione!$C$1</c:f>
              <c:strCache>
                <c:ptCount val="1"/>
                <c:pt idx="0">
                  <c:v>Quantità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Elaborazione!$C$9:$E$9</c15:sqref>
                  </c15:fullRef>
                </c:ext>
              </c:extLst>
              <c:f>Elaborazione!$C$9</c:f>
              <c:numCache>
                <c:formatCode>"€"\ #,##0.00</c:formatCode>
                <c:ptCount val="1"/>
                <c:pt idx="0" formatCode="General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1A-4AA4-A063-37F3AEB9C1B7}"/>
            </c:ext>
          </c:extLst>
        </c:ser>
        <c:ser>
          <c:idx val="8"/>
          <c:order val="8"/>
          <c:tx>
            <c:strRef>
              <c:f>Elaborazione!$B$10</c:f>
              <c:strCache>
                <c:ptCount val="1"/>
                <c:pt idx="0">
                  <c:v>Pianeta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Elaborazione!$C$1:$E$1</c15:sqref>
                  </c15:fullRef>
                </c:ext>
              </c:extLst>
              <c:f>Elaborazione!$C$1</c:f>
              <c:strCache>
                <c:ptCount val="1"/>
                <c:pt idx="0">
                  <c:v>Quantità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Elaborazione!$C$10:$E$10</c15:sqref>
                  </c15:fullRef>
                </c:ext>
              </c:extLst>
              <c:f>Elaborazione!$C$10</c:f>
              <c:numCache>
                <c:formatCode>"€"\ #,##0.00</c:formatCode>
                <c:ptCount val="1"/>
                <c:pt idx="0" formatCode="General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1A-4AA4-A063-37F3AEB9C1B7}"/>
            </c:ext>
          </c:extLst>
        </c:ser>
        <c:ser>
          <c:idx val="9"/>
          <c:order val="9"/>
          <c:tx>
            <c:strRef>
              <c:f>Elaborazione!$B$11</c:f>
              <c:strCache>
                <c:ptCount val="1"/>
                <c:pt idx="0">
                  <c:v>Vibrazione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Elaborazione!$C$1:$E$1</c15:sqref>
                  </c15:fullRef>
                </c:ext>
              </c:extLst>
              <c:f>Elaborazione!$C$1</c:f>
              <c:strCache>
                <c:ptCount val="1"/>
                <c:pt idx="0">
                  <c:v>Quantità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Elaborazione!$C$11:$E$11</c15:sqref>
                  </c15:fullRef>
                </c:ext>
              </c:extLst>
              <c:f>Elaborazione!$C$11</c:f>
              <c:numCache>
                <c:formatCode>"€"\ #,##0.00</c:formatCode>
                <c:ptCount val="1"/>
                <c:pt idx="0" formatCode="General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1A-4AA4-A063-37F3AEB9C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514143"/>
        <c:axId val="636514975"/>
        <c:extLst/>
      </c:barChart>
      <c:catAx>
        <c:axId val="6365141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6514975"/>
        <c:crosses val="autoZero"/>
        <c:auto val="1"/>
        <c:lblAlgn val="ctr"/>
        <c:lblOffset val="100"/>
        <c:noMultiLvlLbl val="0"/>
      </c:catAx>
      <c:valAx>
        <c:axId val="636514975"/>
        <c:scaling>
          <c:orientation val="minMax"/>
          <c:max val="1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651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Elaborazione!$E$1</c:f>
              <c:strCache>
                <c:ptCount val="1"/>
                <c:pt idx="0">
                  <c:v>Totale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Elaborazione!$B$2:$B$11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Elaborazione!$E$2:$E$11</c:f>
              <c:numCache>
                <c:formatCode>"€"\ #,##0.00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A-44D9-8D36-2775E04260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735207007"/>
        <c:axId val="735192863"/>
      </c:barChart>
      <c:catAx>
        <c:axId val="73520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5192863"/>
        <c:crosses val="autoZero"/>
        <c:auto val="1"/>
        <c:lblAlgn val="ctr"/>
        <c:lblOffset val="100"/>
        <c:noMultiLvlLbl val="0"/>
      </c:catAx>
      <c:valAx>
        <c:axId val="735192863"/>
        <c:scaling>
          <c:orientation val="minMax"/>
        </c:scaling>
        <c:delete val="1"/>
        <c:axPos val="b"/>
        <c:numFmt formatCode="&quot;€&quot;\ #,##0.00" sourceLinked="1"/>
        <c:majorTickMark val="none"/>
        <c:minorTickMark val="none"/>
        <c:tickLblPos val="nextTo"/>
        <c:crossAx val="73520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plotArea>
      <cx:plotAreaRegion>
        <cx:series layoutId="treemap" uniqueId="{BA34B8E0-669F-4E4F-AF49-3C6A3AC42B90}">
          <cx:tx>
            <cx:txData>
              <cx:f>_xlchart.v1.4</cx:f>
              <cx:v>Totale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series layoutId="sunburst" uniqueId="{A2DB8D51-FCF9-4280-B7B8-B60C59FB752C}">
          <cx:tx>
            <cx:txData>
              <cx:f>_xlchart.v1.1</cx:f>
              <cx:v>Totale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plotArea>
      <cx:plotAreaRegion>
        <cx:series layoutId="sunburst" uniqueId="{A2DB8D51-FCF9-4280-B7B8-B60C59FB752C}">
          <cx:tx>
            <cx:txData>
              <cx:f>_xlchart.v1.7</cx:f>
              <cx:v>Totale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  <cx:clrMapOvr bg1="lt1" tx1="dk1" bg2="lt2" tx2="dk2" accent1="accent1" accent2="accent2" accent3="accent3" accent4="accent4" accent5="accent5" accent6="accent6" hlink="hlink" folHlink="folHlink"/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128587</xdr:rowOff>
    </xdr:from>
    <xdr:to>
      <xdr:col>3</xdr:col>
      <xdr:colOff>266700</xdr:colOff>
      <xdr:row>26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3</xdr:col>
      <xdr:colOff>590550</xdr:colOff>
      <xdr:row>12</xdr:row>
      <xdr:rowOff>114300</xdr:rowOff>
    </xdr:from>
    <xdr:to>
      <xdr:col>10</xdr:col>
      <xdr:colOff>133350</xdr:colOff>
      <xdr:row>32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co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17</xdr:row>
      <xdr:rowOff>9525</xdr:rowOff>
    </xdr:from>
    <xdr:to>
      <xdr:col>12</xdr:col>
      <xdr:colOff>428625</xdr:colOff>
      <xdr:row>51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fico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</xdr:col>
      <xdr:colOff>252411</xdr:colOff>
      <xdr:row>56</xdr:row>
      <xdr:rowOff>14287</xdr:rowOff>
    </xdr:from>
    <xdr:to>
      <xdr:col>11</xdr:col>
      <xdr:colOff>142874</xdr:colOff>
      <xdr:row>85</xdr:row>
      <xdr:rowOff>0</xdr:rowOff>
    </xdr:to>
    <xdr:graphicFrame macro="">
      <xdr:nvGraphicFramePr>
        <xdr:cNvPr id="6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1238250</xdr:colOff>
      <xdr:row>97</xdr:row>
      <xdr:rowOff>23811</xdr:rowOff>
    </xdr:from>
    <xdr:to>
      <xdr:col>12</xdr:col>
      <xdr:colOff>142875</xdr:colOff>
      <xdr:row>125</xdr:row>
      <xdr:rowOff>152400</xdr:rowOff>
    </xdr:to>
    <xdr:graphicFrame macro="">
      <xdr:nvGraphicFramePr>
        <xdr:cNvPr id="7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3"/>
  <sheetViews>
    <sheetView zoomScaleNormal="100" workbookViewId="0">
      <selection activeCell="D2" sqref="D2"/>
    </sheetView>
  </sheetViews>
  <sheetFormatPr defaultColWidth="12.5703125" defaultRowHeight="15.75" customHeight="1" x14ac:dyDescent="0.2"/>
  <cols>
    <col min="1" max="1" width="19.7109375" customWidth="1"/>
    <col min="2" max="3" width="22.42578125" customWidth="1"/>
    <col min="4" max="4" width="24" customWidth="1"/>
  </cols>
  <sheetData>
    <row r="1" spans="1:26" ht="15.75" customHeight="1" x14ac:dyDescent="0.2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x14ac:dyDescent="0.2">
      <c r="A2" s="3" t="s">
        <v>19</v>
      </c>
      <c r="B2" s="3" t="s">
        <v>5</v>
      </c>
      <c r="C2" s="5">
        <v>500</v>
      </c>
      <c r="D2" s="4">
        <v>15.75</v>
      </c>
      <c r="E2" s="6">
        <f>PRODUCT(C2,D2)</f>
        <v>7875</v>
      </c>
    </row>
    <row r="3" spans="1:26" ht="12.75" x14ac:dyDescent="0.2">
      <c r="A3" s="3" t="s">
        <v>19</v>
      </c>
      <c r="B3" s="3" t="s">
        <v>6</v>
      </c>
      <c r="C3" s="5">
        <v>1200</v>
      </c>
      <c r="D3" s="4">
        <v>8.5</v>
      </c>
      <c r="E3" s="6">
        <f t="shared" ref="E3:E11" si="0">PRODUCT(C3,D3)</f>
        <v>10200</v>
      </c>
    </row>
    <row r="4" spans="1:26" ht="12.75" x14ac:dyDescent="0.2">
      <c r="A4" s="3" t="s">
        <v>7</v>
      </c>
      <c r="B4" s="3" t="s">
        <v>8</v>
      </c>
      <c r="C4" s="5">
        <v>800</v>
      </c>
      <c r="D4" s="4">
        <v>12.25</v>
      </c>
      <c r="E4" s="6">
        <f t="shared" si="0"/>
        <v>9800</v>
      </c>
    </row>
    <row r="5" spans="1:26" ht="12.75" x14ac:dyDescent="0.2">
      <c r="A5" s="3" t="s">
        <v>19</v>
      </c>
      <c r="B5" s="3" t="s">
        <v>9</v>
      </c>
      <c r="C5" s="5">
        <v>300</v>
      </c>
      <c r="D5" s="4">
        <v>25</v>
      </c>
      <c r="E5" s="6">
        <f t="shared" si="0"/>
        <v>7500</v>
      </c>
    </row>
    <row r="6" spans="1:26" ht="12.75" x14ac:dyDescent="0.2">
      <c r="A6" s="3" t="s">
        <v>7</v>
      </c>
      <c r="B6" s="3" t="s">
        <v>10</v>
      </c>
      <c r="C6" s="5">
        <v>1500</v>
      </c>
      <c r="D6" s="4">
        <v>6.5</v>
      </c>
      <c r="E6" s="6">
        <f t="shared" si="0"/>
        <v>9750</v>
      </c>
    </row>
    <row r="7" spans="1:26" ht="12.75" x14ac:dyDescent="0.2">
      <c r="A7" s="3" t="s">
        <v>11</v>
      </c>
      <c r="B7" s="3" t="s">
        <v>12</v>
      </c>
      <c r="C7" s="5">
        <v>700</v>
      </c>
      <c r="D7" s="4">
        <v>18.75</v>
      </c>
      <c r="E7" s="6">
        <f t="shared" si="0"/>
        <v>13125</v>
      </c>
    </row>
    <row r="8" spans="1:26" ht="12.75" x14ac:dyDescent="0.2">
      <c r="A8" s="3" t="s">
        <v>11</v>
      </c>
      <c r="B8" s="3" t="s">
        <v>13</v>
      </c>
      <c r="C8" s="5">
        <v>900</v>
      </c>
      <c r="D8" s="4">
        <v>14</v>
      </c>
      <c r="E8" s="6">
        <f t="shared" si="0"/>
        <v>12600</v>
      </c>
    </row>
    <row r="9" spans="1:26" ht="12.75" x14ac:dyDescent="0.2">
      <c r="A9" s="3" t="s">
        <v>7</v>
      </c>
      <c r="B9" s="3" t="s">
        <v>14</v>
      </c>
      <c r="C9" s="5">
        <v>1100</v>
      </c>
      <c r="D9" s="4">
        <v>10.5</v>
      </c>
      <c r="E9" s="6">
        <f t="shared" si="0"/>
        <v>11550</v>
      </c>
    </row>
    <row r="10" spans="1:26" ht="12.75" x14ac:dyDescent="0.2">
      <c r="A10" s="3" t="s">
        <v>11</v>
      </c>
      <c r="B10" s="3" t="s">
        <v>15</v>
      </c>
      <c r="C10" s="5">
        <v>600</v>
      </c>
      <c r="D10" s="4">
        <v>20</v>
      </c>
      <c r="E10" s="6">
        <f t="shared" si="0"/>
        <v>12000</v>
      </c>
    </row>
    <row r="11" spans="1:26" ht="12.75" x14ac:dyDescent="0.2">
      <c r="A11" s="3" t="s">
        <v>16</v>
      </c>
      <c r="B11" s="3" t="s">
        <v>17</v>
      </c>
      <c r="C11" s="5">
        <v>1000</v>
      </c>
      <c r="D11" s="4">
        <v>13.5</v>
      </c>
      <c r="E11" s="6">
        <f t="shared" si="0"/>
        <v>13500</v>
      </c>
    </row>
    <row r="13" spans="1:26" ht="15.75" customHeight="1" x14ac:dyDescent="0.2">
      <c r="N13" t="s">
        <v>18</v>
      </c>
    </row>
  </sheetData>
  <pageMargins left="0.19685039370078741" right="0.19685039370078741" top="0.39370078740157483" bottom="0.39370078740157483" header="0.31496062992125984" footer="0.31496062992125984"/>
  <pageSetup paperSize="9" orientation="portrait" r:id="rId1"/>
  <headerFooter>
    <oddHeader>&amp;CSpese recenti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topLeftCell="A46" workbookViewId="0">
      <selection activeCell="O70" sqref="O70"/>
    </sheetView>
  </sheetViews>
  <sheetFormatPr defaultRowHeight="12.75" x14ac:dyDescent="0.2"/>
  <cols>
    <col min="1" max="1" width="18.7109375" bestFit="1" customWidth="1"/>
    <col min="2" max="2" width="9.85546875" bestFit="1" customWidth="1"/>
    <col min="3" max="3" width="9.5703125" bestFit="1" customWidth="1"/>
    <col min="4" max="4" width="8.140625" bestFit="1" customWidth="1"/>
    <col min="5" max="5" width="10.7109375" bestFit="1" customWidth="1"/>
    <col min="11" max="12" width="10.42578125" customWidth="1"/>
  </cols>
  <sheetData>
    <row r="1" spans="1:5" ht="1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">
      <c r="A2" t="s">
        <v>19</v>
      </c>
      <c r="B2" t="s">
        <v>5</v>
      </c>
      <c r="C2">
        <v>500</v>
      </c>
      <c r="D2" s="8">
        <v>15.75</v>
      </c>
      <c r="E2" s="8">
        <f>C2*D2</f>
        <v>7875</v>
      </c>
    </row>
    <row r="3" spans="1:5" x14ac:dyDescent="0.2">
      <c r="A3" t="s">
        <v>19</v>
      </c>
      <c r="B3" t="s">
        <v>6</v>
      </c>
      <c r="C3">
        <v>1200</v>
      </c>
      <c r="D3" s="8">
        <v>8.5</v>
      </c>
      <c r="E3" s="8">
        <f t="shared" ref="E3:E11" si="0">C3*D3</f>
        <v>10200</v>
      </c>
    </row>
    <row r="4" spans="1:5" x14ac:dyDescent="0.2">
      <c r="A4" t="s">
        <v>7</v>
      </c>
      <c r="B4" t="s">
        <v>8</v>
      </c>
      <c r="C4">
        <v>800</v>
      </c>
      <c r="D4" s="8">
        <v>12.25</v>
      </c>
      <c r="E4" s="8">
        <f t="shared" si="0"/>
        <v>9800</v>
      </c>
    </row>
    <row r="5" spans="1:5" x14ac:dyDescent="0.2">
      <c r="A5" t="s">
        <v>19</v>
      </c>
      <c r="B5" t="s">
        <v>9</v>
      </c>
      <c r="C5">
        <v>300</v>
      </c>
      <c r="D5" s="8">
        <v>25</v>
      </c>
      <c r="E5" s="8">
        <f t="shared" si="0"/>
        <v>7500</v>
      </c>
    </row>
    <row r="6" spans="1:5" x14ac:dyDescent="0.2">
      <c r="A6" t="s">
        <v>7</v>
      </c>
      <c r="B6" t="s">
        <v>10</v>
      </c>
      <c r="C6">
        <v>1500</v>
      </c>
      <c r="D6" s="8">
        <v>6.5</v>
      </c>
      <c r="E6" s="8">
        <f t="shared" si="0"/>
        <v>9750</v>
      </c>
    </row>
    <row r="7" spans="1:5" x14ac:dyDescent="0.2">
      <c r="A7" t="s">
        <v>11</v>
      </c>
      <c r="B7" t="s">
        <v>12</v>
      </c>
      <c r="C7">
        <v>700</v>
      </c>
      <c r="D7" s="8">
        <v>18.75</v>
      </c>
      <c r="E7" s="8">
        <f t="shared" si="0"/>
        <v>13125</v>
      </c>
    </row>
    <row r="8" spans="1:5" x14ac:dyDescent="0.2">
      <c r="A8" t="s">
        <v>11</v>
      </c>
      <c r="B8" t="s">
        <v>13</v>
      </c>
      <c r="C8">
        <v>900</v>
      </c>
      <c r="D8" s="8">
        <v>14</v>
      </c>
      <c r="E8" s="8">
        <f t="shared" si="0"/>
        <v>12600</v>
      </c>
    </row>
    <row r="9" spans="1:5" x14ac:dyDescent="0.2">
      <c r="A9" t="s">
        <v>7</v>
      </c>
      <c r="B9" t="s">
        <v>14</v>
      </c>
      <c r="C9">
        <v>1100</v>
      </c>
      <c r="D9" s="8">
        <v>10.5</v>
      </c>
      <c r="E9" s="8">
        <f t="shared" si="0"/>
        <v>11550</v>
      </c>
    </row>
    <row r="10" spans="1:5" x14ac:dyDescent="0.2">
      <c r="A10" t="s">
        <v>11</v>
      </c>
      <c r="B10" t="s">
        <v>15</v>
      </c>
      <c r="C10">
        <v>600</v>
      </c>
      <c r="D10" s="8">
        <v>20</v>
      </c>
      <c r="E10" s="8">
        <f t="shared" si="0"/>
        <v>12000</v>
      </c>
    </row>
    <row r="11" spans="1:5" x14ac:dyDescent="0.2">
      <c r="A11" t="s">
        <v>16</v>
      </c>
      <c r="B11" t="s">
        <v>17</v>
      </c>
      <c r="C11">
        <v>1000</v>
      </c>
      <c r="D11" s="8">
        <v>13.5</v>
      </c>
      <c r="E11" s="8">
        <f t="shared" si="0"/>
        <v>13500</v>
      </c>
    </row>
    <row r="12" spans="1:5" x14ac:dyDescent="0.2">
      <c r="D12" s="8"/>
      <c r="E12" s="8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&amp;CPreparato da Marco Pacciani &amp;D&amp;RPagina &amp;P</oddHeader>
  </headerFooter>
  <rowBreaks count="1" manualBreakCount="1">
    <brk id="1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Prodotti</vt:lpstr>
      <vt:lpstr>Elaborazione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</cp:lastModifiedBy>
  <cp:lastPrinted>2024-11-12T18:46:44Z</cp:lastPrinted>
  <dcterms:modified xsi:type="dcterms:W3CDTF">2024-11-12T18:57:35Z</dcterms:modified>
</cp:coreProperties>
</file>